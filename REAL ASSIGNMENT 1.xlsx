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88A14C8-9BAF-4DE0-939B-0C865F12308D}" xr6:coauthVersionLast="47" xr6:coauthVersionMax="47" xr10:uidLastSave="{00000000-0000-0000-0000-000000000000}"/>
  <bookViews>
    <workbookView xWindow="-108" yWindow="-108" windowWidth="23256" windowHeight="12456" xr2:uid="{B99C8D89-19B7-46D0-B208-213FB75006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15" i="1"/>
  <c r="M12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M9" i="1"/>
  <c r="M5" i="1"/>
  <c r="M7" i="1"/>
  <c r="M1" i="1"/>
</calcChain>
</file>

<file path=xl/sharedStrings.xml><?xml version="1.0" encoding="utf-8"?>
<sst xmlns="http://schemas.openxmlformats.org/spreadsheetml/2006/main" count="155" uniqueCount="106">
  <si>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</si>
  <si>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</si>
  <si>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</si>
  <si>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</si>
  <si>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</si>
  <si>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</si>
  <si>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</si>
  <si>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</si>
  <si>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</si>
  <si>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</si>
  <si>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</si>
  <si>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</si>
  <si>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</si>
  <si>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</si>
  <si>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</si>
  <si>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</si>
  <si>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</si>
  <si>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</si>
  <si>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</si>
  <si>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</si>
  <si>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</si>
  <si>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</si>
  <si>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</si>
  <si>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</si>
  <si>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</si>
  <si>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</si>
  <si>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</si>
  <si>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</si>
  <si>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</si>
  <si>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</si>
  <si>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</si>
  <si>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</si>
  <si>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</si>
  <si>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</si>
  <si>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</si>
  <si>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</si>
  <si>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</si>
  <si>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</si>
  <si>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</si>
  <si>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</si>
  <si>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</si>
  <si>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</si>
  <si>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</si>
  <si>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</si>
  <si>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</si>
  <si>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</si>
  <si>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</si>
  <si>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</si>
  <si>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</si>
  <si>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</si>
  <si>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</si>
  <si>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</si>
  <si>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</si>
  <si>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</si>
  <si>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</si>
  <si>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</si>
  <si>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</si>
  <si>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</si>
  <si>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</si>
  <si>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</si>
  <si>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</si>
  <si>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</si>
  <si>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</si>
  <si>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</si>
  <si>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</si>
  <si>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</si>
  <si>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</si>
  <si>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</si>
  <si>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</si>
  <si>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</si>
  <si>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</si>
  <si>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</si>
  <si>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</si>
  <si>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</si>
  <si>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</si>
  <si>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</si>
  <si>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</si>
  <si>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</si>
  <si>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</si>
  <si>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</si>
  <si>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</si>
  <si>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</si>
  <si>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</si>
  <si>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</si>
  <si>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</si>
  <si>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</si>
  <si>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</si>
  <si>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</si>
  <si>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</si>
  <si>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</si>
  <si>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</si>
  <si>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</si>
  <si>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</si>
  <si>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Total price of all products</t>
  </si>
  <si>
    <t>price range</t>
  </si>
  <si>
    <t>Day</t>
  </si>
  <si>
    <t>Country Code</t>
  </si>
  <si>
    <t>Month</t>
  </si>
  <si>
    <t>SUMIF</t>
  </si>
  <si>
    <t>COUNTIF</t>
  </si>
  <si>
    <t>Minimum</t>
  </si>
  <si>
    <t>Maximum</t>
  </si>
  <si>
    <t xml:space="preserve">Total price of products in the Electronics category </t>
  </si>
  <si>
    <t>Average price of the products</t>
  </si>
  <si>
    <t>How many products</t>
  </si>
  <si>
    <t xml:space="preserve">Products with a price less than $100.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</si>
</sst>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5" tint="0.59999389629810485"/>
        <bgColor rgb="FF4DD0E1"/>
      </patternFill>
    </fill>
    <fill>
      <patternFill patternType="solid">
        <fgColor theme="5" tint="0.59999389629810485"/>
        <bgColor rgb="FFE0F7FA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2" borderId="0" xfId="1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4" borderId="0" xfId="1" applyFont="1" applyFill="1" applyAlignment="1">
      <alignment horizontal="center"/>
    </xf>
    <xf numFmtId="0" fontId="2" fillId="4" borderId="0" xfId="1" applyFont="1" applyFill="1" applyAlignment="1">
      <alignment horizontal="center"/>
    </xf>
    <xf numFmtId="0" fontId="2" fillId="4" borderId="0" xfId="1" applyFont="1" applyFill="1"/>
    <xf numFmtId="0" fontId="3" fillId="5" borderId="0" xfId="1" applyFont="1" applyFill="1"/>
    <xf numFmtId="0" fontId="0" fillId="6" borderId="0" xfId="0" applyFill="1"/>
    <xf numFmtId="0" fontId="3" fillId="5" borderId="0" xfId="1" applyFont="1" applyFill="1" applyAlignment="1">
      <alignment horizontal="center"/>
    </xf>
    <xf numFmtId="0" fontId="1" fillId="6" borderId="0" xfId="1" applyFill="1" applyAlignment="1">
      <alignment horizontal="center"/>
    </xf>
    <xf numFmtId="0" fontId="0" fillId="6" borderId="0" xfId="0" applyFill="1" applyAlignment="1">
      <alignment horizontal="center"/>
    </xf>
    <xf numFmtId="0" fontId="3" fillId="0" borderId="0" xfId="1" applyFont="1" applyAlignment="1">
      <alignment horizontal="center"/>
    </xf>
    <xf numFmtId="0" fontId="3" fillId="3" borderId="0" xfId="1" applyFont="1" applyFill="1" applyAlignment="1">
      <alignment horizontal="center"/>
    </xf>
    <xf numFmtId="0" fontId="1" fillId="0" borderId="0" xfId="1" applyAlignment="1">
      <alignment horizontal="center"/>
    </xf>
  </cellXfs>
  <cellStyles count="2">
    <cellStyle name="Normal" xfId="0" builtinId="0"/>
    <cellStyle name="Normal 2" xfId="1" xr:uid="{47C2F854-D165-4897-92B0-7B0BBA762C83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theme="5" tint="0.5999938962981048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BCE0FE-24D4-4A53-BD33-FC9DB1DFAF0A}" name="ord_as1" displayName="ord_as1" ref="A1:J35" totalsRowShown="0" headerRowDxfId="11" dataDxfId="10" headerRowCellStyle="Normal 2" dataCellStyle="Normal 2">
  <autoFilter ref="A1:J35" xr:uid="{2CBCE0FE-24D4-4A53-BD33-FC9DB1DFAF0A}"/>
  <tableColumns count="10">
    <tableColumn id="1" xr3:uid="{4E7885F5-13E1-48FF-BE69-A9AA78104C4A}" name="Product ID" dataDxfId="9" dataCellStyle="Normal 2"/>
    <tableColumn id="2" xr3:uid="{0A81D9E9-66D6-4C58-8117-BA50DA73EAE2}" name="Product Name" dataDxfId="8" dataCellStyle="Normal 2"/>
    <tableColumn id="3" xr3:uid="{724A7F75-FED6-47D0-9645-F97F3D67275D}" name="Brand Name" dataDxfId="7" dataCellStyle="Normal 2"/>
    <tableColumn id="4" xr3:uid="{58AD69FF-2017-4E31-A4DC-0E3C3CCB19F1}" name="Price ($)" dataDxfId="6" dataCellStyle="Normal 2"/>
    <tableColumn id="5" xr3:uid="{AE3FD208-28F4-4A3A-8502-85AA0A2067ED}" name="Quantity" dataDxfId="5" dataCellStyle="Normal 2"/>
    <tableColumn id="6" xr3:uid="{61F62462-0359-4016-AACC-5C8D9E3F99CA}" name="Category" dataDxfId="4" dataCellStyle="Normal 2"/>
    <tableColumn id="7" xr3:uid="{3888F83F-389B-49B6-B540-8A12FAA3586A}" name="price range" dataDxfId="3" dataCellStyle="Normal 2">
      <calculatedColumnFormula>IF(ord_as1[[#This Row],[Price ($)]]&gt;=500,"HIGH PRICE","STANDARD PRICE")</calculatedColumnFormula>
    </tableColumn>
    <tableColumn id="8" xr3:uid="{7732DFB4-FD1A-4230-8685-729475FFDC33}" name="Day" dataDxfId="2" dataCellStyle="Normal 2">
      <calculatedColumnFormula>LEFT(ord_as1[[#This Row],[Product ID]],2)</calculatedColumnFormula>
    </tableColumn>
    <tableColumn id="9" xr3:uid="{E98B052E-86EE-4C27-BB9C-44B04A2E1FEA}" name="Country Code" dataDxfId="1" dataCellStyle="Normal 2">
      <calculatedColumnFormula>RIGHT(ord_as1[[#This Row],[Product ID]],2)</calculatedColumnFormula>
    </tableColumn>
    <tableColumn id="10" xr3:uid="{4B68C8BE-F222-467D-9825-32FB250B8420}" name="Month" dataDxfId="0" dataCellStyle="Normal 2">
      <calculatedColumnFormula>MID(ord_as1[[#This Row],[Product ID]],4,6)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43836-C2FA-4F0F-8DFE-AD97D2EF6AEB}">
  <dimension ref="A1:N48"/>
  <sheetViews>
    <sheetView tabSelected="1" topLeftCell="B1" zoomScale="102" zoomScaleNormal="102" workbookViewId="0">
      <selection activeCell="M4" sqref="M4"/>
    </sheetView>
  </sheetViews>
  <sheetFormatPr defaultRowHeight="14.4" x14ac:dyDescent="0.3"/>
  <cols>
    <col min="1" max="1" width="12.21875" style="2" customWidth="1"/>
    <col min="2" max="2" width="15.33203125" style="2" customWidth="1"/>
    <col min="3" max="3" width="13.6640625" style="2" customWidth="1"/>
    <col min="4" max="4" width="10.21875" style="2" customWidth="1"/>
    <col min="5" max="5" width="11.77734375" style="2" customWidth="1"/>
    <col min="6" max="6" width="11" style="2" bestFit="1" customWidth="1"/>
    <col min="7" max="7" width="19" style="14" customWidth="1"/>
    <col min="8" max="8" width="8.88671875" style="14"/>
    <col min="9" max="9" width="17.77734375" style="14" customWidth="1"/>
    <col min="10" max="10" width="12.21875" style="11" customWidth="1"/>
    <col min="12" max="12" width="44.21875" customWidth="1"/>
    <col min="13" max="13" width="21.2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94</v>
      </c>
      <c r="H1" s="8" t="s">
        <v>95</v>
      </c>
      <c r="I1" s="8" t="s">
        <v>96</v>
      </c>
      <c r="J1" s="9" t="s">
        <v>97</v>
      </c>
      <c r="L1" s="4" t="s">
        <v>93</v>
      </c>
      <c r="M1" s="5">
        <f>SUM(ord_as1[Price ($)])</f>
        <v>10100</v>
      </c>
    </row>
    <row r="2" spans="1:13" x14ac:dyDescent="0.3">
      <c r="A2" s="15" t="s">
        <v>6</v>
      </c>
      <c r="B2" s="15" t="s">
        <v>7</v>
      </c>
      <c r="C2" s="15" t="s">
        <v>8</v>
      </c>
      <c r="D2" s="15">
        <v>1000</v>
      </c>
      <c r="E2" s="15">
        <v>30</v>
      </c>
      <c r="F2" s="15" t="s">
        <v>9</v>
      </c>
      <c r="G2" s="12" t="str">
        <f>IF(ord_as1[[#This Row],[Price ($)]]&gt;=500,"HIGH PRICE","STANDARD PRICE")</f>
        <v>HIGH PRICE</v>
      </c>
      <c r="H2" s="12" t="str">
        <f>LEFT(ord_as1[[#This Row],[Product ID]],2)</f>
        <v>28</v>
      </c>
      <c r="I2" s="12" t="str">
        <f>RIGHT(ord_as1[[#This Row],[Product ID]],2)</f>
        <v>US</v>
      </c>
      <c r="J2" s="10" t="str">
        <f>MID(ord_as1[[#This Row],[Product ID]],4,6)</f>
        <v>JAN-US</v>
      </c>
      <c r="L2" s="4"/>
      <c r="M2" s="5"/>
    </row>
    <row r="3" spans="1:13" x14ac:dyDescent="0.3">
      <c r="A3" s="16" t="s">
        <v>10</v>
      </c>
      <c r="B3" s="16" t="s">
        <v>11</v>
      </c>
      <c r="C3" s="16" t="s">
        <v>12</v>
      </c>
      <c r="D3" s="16">
        <v>80</v>
      </c>
      <c r="E3" s="16">
        <v>15</v>
      </c>
      <c r="F3" s="16" t="s">
        <v>13</v>
      </c>
      <c r="G3" s="12" t="str">
        <f>IF(ord_as1[[#This Row],[Price ($)]]&gt;=500,"HIGH PRICE","STANDARD PRICE")</f>
        <v>STANDARD PRICE</v>
      </c>
      <c r="H3" s="12" t="str">
        <f>LEFT(ord_as1[[#This Row],[Product ID]],2)</f>
        <v>15</v>
      </c>
      <c r="I3" s="12" t="str">
        <f>RIGHT(ord_as1[[#This Row],[Product ID]],2)</f>
        <v>US</v>
      </c>
      <c r="J3" s="10" t="str">
        <f>MID(ord_as1[[#This Row],[Product ID]],4,6)</f>
        <v>FEB-US</v>
      </c>
      <c r="L3" s="4" t="s">
        <v>104</v>
      </c>
      <c r="M3" s="5">
        <f>COUNTA(ord_as1[Product Name])</f>
        <v>34</v>
      </c>
    </row>
    <row r="4" spans="1:13" x14ac:dyDescent="0.3">
      <c r="A4" s="15" t="s">
        <v>14</v>
      </c>
      <c r="B4" s="15" t="s">
        <v>15</v>
      </c>
      <c r="C4" s="15" t="s">
        <v>16</v>
      </c>
      <c r="D4" s="15">
        <v>130</v>
      </c>
      <c r="E4" s="15">
        <v>40</v>
      </c>
      <c r="F4" s="15" t="s">
        <v>17</v>
      </c>
      <c r="G4" s="12" t="str">
        <f>IF(ord_as1[[#This Row],[Price ($)]]&gt;=500,"HIGH PRICE","STANDARD PRICE")</f>
        <v>STANDARD PRICE</v>
      </c>
      <c r="H4" s="12" t="str">
        <f>LEFT(ord_as1[[#This Row],[Product ID]],2)</f>
        <v>03</v>
      </c>
      <c r="I4" s="12" t="str">
        <f>RIGHT(ord_as1[[#This Row],[Product ID]],2)</f>
        <v>US</v>
      </c>
      <c r="J4" s="10" t="str">
        <f>MID(ord_as1[[#This Row],[Product ID]],4,6)</f>
        <v>MAR-US</v>
      </c>
      <c r="L4" s="4"/>
      <c r="M4" s="5"/>
    </row>
    <row r="5" spans="1:13" x14ac:dyDescent="0.3">
      <c r="A5" s="16" t="s">
        <v>18</v>
      </c>
      <c r="B5" s="16" t="s">
        <v>19</v>
      </c>
      <c r="C5" s="16" t="s">
        <v>20</v>
      </c>
      <c r="D5" s="16">
        <v>900</v>
      </c>
      <c r="E5" s="16">
        <v>25</v>
      </c>
      <c r="F5" s="16" t="s">
        <v>9</v>
      </c>
      <c r="G5" s="12" t="str">
        <f>IF(ord_as1[[#This Row],[Price ($)]]&gt;=500,"HIGH PRICE","STANDARD PRICE")</f>
        <v>HIGH PRICE</v>
      </c>
      <c r="H5" s="12" t="str">
        <f>LEFT(ord_as1[[#This Row],[Product ID]],2)</f>
        <v>11</v>
      </c>
      <c r="I5" s="12" t="str">
        <f>RIGHT(ord_as1[[#This Row],[Product ID]],2)</f>
        <v>US</v>
      </c>
      <c r="J5" s="10" t="str">
        <f>MID(ord_as1[[#This Row],[Product ID]],4,6)</f>
        <v>APR-US</v>
      </c>
      <c r="L5" s="4" t="s">
        <v>103</v>
      </c>
      <c r="M5" s="5">
        <f>AVERAGE(ord_as1[Price ($)])</f>
        <v>297.05882352941177</v>
      </c>
    </row>
    <row r="6" spans="1:13" x14ac:dyDescent="0.3">
      <c r="A6" s="15" t="s">
        <v>21</v>
      </c>
      <c r="B6" s="15" t="s">
        <v>22</v>
      </c>
      <c r="C6" s="15" t="s">
        <v>23</v>
      </c>
      <c r="D6" s="15">
        <v>70</v>
      </c>
      <c r="E6" s="15">
        <v>20</v>
      </c>
      <c r="F6" s="15" t="s">
        <v>24</v>
      </c>
      <c r="G6" s="12" t="str">
        <f>IF(ord_as1[[#This Row],[Price ($)]]&gt;=500,"HIGH PRICE","STANDARD PRICE")</f>
        <v>STANDARD PRICE</v>
      </c>
      <c r="H6" s="12" t="str">
        <f>LEFT(ord_as1[[#This Row],[Product ID]],2)</f>
        <v>22</v>
      </c>
      <c r="I6" s="12" t="str">
        <f>RIGHT(ord_as1[[#This Row],[Product ID]],2)</f>
        <v>US</v>
      </c>
      <c r="J6" s="10" t="str">
        <f>MID(ord_as1[[#This Row],[Product ID]],4,6)</f>
        <v>MAY-US</v>
      </c>
      <c r="L6" s="4"/>
      <c r="M6" s="5"/>
    </row>
    <row r="7" spans="1:13" x14ac:dyDescent="0.3">
      <c r="A7" s="16" t="s">
        <v>25</v>
      </c>
      <c r="B7" s="16" t="s">
        <v>26</v>
      </c>
      <c r="C7" s="16" t="s">
        <v>27</v>
      </c>
      <c r="D7" s="16">
        <v>200</v>
      </c>
      <c r="E7" s="16">
        <v>45</v>
      </c>
      <c r="F7" s="16" t="s">
        <v>9</v>
      </c>
      <c r="G7" s="12" t="str">
        <f>IF(ord_as1[[#This Row],[Price ($)]]&gt;=500,"HIGH PRICE","STANDARD PRICE")</f>
        <v>STANDARD PRICE</v>
      </c>
      <c r="H7" s="12" t="str">
        <f>LEFT(ord_as1[[#This Row],[Product ID]],2)</f>
        <v>07</v>
      </c>
      <c r="I7" s="12" t="str">
        <f>RIGHT(ord_as1[[#This Row],[Product ID]],2)</f>
        <v>UK</v>
      </c>
      <c r="J7" s="10" t="str">
        <f>MID(ord_as1[[#This Row],[Product ID]],4,6)</f>
        <v>JUN-UK</v>
      </c>
      <c r="L7" s="4" t="s">
        <v>100</v>
      </c>
      <c r="M7" s="5">
        <f>MIN(ord_as1[Price ($)])</f>
        <v>30</v>
      </c>
    </row>
    <row r="8" spans="1:13" x14ac:dyDescent="0.3">
      <c r="A8" s="15" t="s">
        <v>28</v>
      </c>
      <c r="B8" s="15" t="s">
        <v>29</v>
      </c>
      <c r="C8" s="15" t="s">
        <v>30</v>
      </c>
      <c r="D8" s="15">
        <v>30</v>
      </c>
      <c r="E8" s="15">
        <v>5</v>
      </c>
      <c r="F8" s="15" t="s">
        <v>13</v>
      </c>
      <c r="G8" s="12" t="str">
        <f>IF(ord_as1[[#This Row],[Price ($)]]&gt;=500,"HIGH PRICE","STANDARD PRICE")</f>
        <v>STANDARD PRICE</v>
      </c>
      <c r="H8" s="12" t="str">
        <f>LEFT(ord_as1[[#This Row],[Product ID]],2)</f>
        <v>19</v>
      </c>
      <c r="I8" s="12" t="str">
        <f>RIGHT(ord_as1[[#This Row],[Product ID]],2)</f>
        <v>UK</v>
      </c>
      <c r="J8" s="10" t="str">
        <f>MID(ord_as1[[#This Row],[Product ID]],4,6)</f>
        <v>JUL-UK</v>
      </c>
      <c r="L8" s="4"/>
      <c r="M8" s="5"/>
    </row>
    <row r="9" spans="1:13" x14ac:dyDescent="0.3">
      <c r="A9" s="16" t="s">
        <v>31</v>
      </c>
      <c r="B9" s="16" t="s">
        <v>32</v>
      </c>
      <c r="C9" s="16" t="s">
        <v>33</v>
      </c>
      <c r="D9" s="16">
        <v>90</v>
      </c>
      <c r="E9" s="16">
        <v>35</v>
      </c>
      <c r="F9" s="16" t="s">
        <v>17</v>
      </c>
      <c r="G9" s="12" t="str">
        <f>IF(ord_as1[[#This Row],[Price ($)]]&gt;=500,"HIGH PRICE","STANDARD PRICE")</f>
        <v>STANDARD PRICE</v>
      </c>
      <c r="H9" s="12" t="str">
        <f>LEFT(ord_as1[[#This Row],[Product ID]],2)</f>
        <v>23</v>
      </c>
      <c r="I9" s="12" t="str">
        <f>RIGHT(ord_as1[[#This Row],[Product ID]],2)</f>
        <v>UK</v>
      </c>
      <c r="J9" s="10" t="str">
        <f>MID(ord_as1[[#This Row],[Product ID]],4,6)</f>
        <v>AUG-UK</v>
      </c>
      <c r="L9" s="4" t="s">
        <v>101</v>
      </c>
      <c r="M9" s="5">
        <f>MAX(ord_as1[Price ($)])</f>
        <v>1000</v>
      </c>
    </row>
    <row r="10" spans="1:13" x14ac:dyDescent="0.3">
      <c r="A10" s="15" t="s">
        <v>34</v>
      </c>
      <c r="B10" s="15" t="s">
        <v>35</v>
      </c>
      <c r="C10" s="15" t="s">
        <v>36</v>
      </c>
      <c r="D10" s="15">
        <v>500</v>
      </c>
      <c r="E10" s="15">
        <v>50</v>
      </c>
      <c r="F10" s="15" t="s">
        <v>9</v>
      </c>
      <c r="G10" s="12" t="str">
        <f>IF(ord_as1[[#This Row],[Price ($)]]&gt;=500,"HIGH PRICE","STANDARD PRICE")</f>
        <v>HIGH PRICE</v>
      </c>
      <c r="H10" s="12" t="str">
        <f>LEFT(ord_as1[[#This Row],[Product ID]],2)</f>
        <v>05</v>
      </c>
      <c r="I10" s="12" t="str">
        <f>RIGHT(ord_as1[[#This Row],[Product ID]],2)</f>
        <v>UK</v>
      </c>
      <c r="J10" s="10" t="str">
        <f>MID(ord_as1[[#This Row],[Product ID]],4,6)</f>
        <v>SEP-UK</v>
      </c>
      <c r="L10" s="4"/>
      <c r="M10" s="5"/>
    </row>
    <row r="11" spans="1:13" x14ac:dyDescent="0.3">
      <c r="A11" s="16" t="s">
        <v>37</v>
      </c>
      <c r="B11" s="16" t="s">
        <v>38</v>
      </c>
      <c r="C11" s="16" t="s">
        <v>39</v>
      </c>
      <c r="D11" s="16">
        <v>130</v>
      </c>
      <c r="E11" s="16">
        <v>10</v>
      </c>
      <c r="F11" s="16" t="s">
        <v>24</v>
      </c>
      <c r="G11" s="12" t="str">
        <f>IF(ord_as1[[#This Row],[Price ($)]]&gt;=500,"HIGH PRICE","STANDARD PRICE")</f>
        <v>STANDARD PRICE</v>
      </c>
      <c r="H11" s="12" t="str">
        <f>LEFT(ord_as1[[#This Row],[Product ID]],2)</f>
        <v>14</v>
      </c>
      <c r="I11" s="12" t="str">
        <f>RIGHT(ord_as1[[#This Row],[Product ID]],2)</f>
        <v>UK</v>
      </c>
      <c r="J11" s="10" t="str">
        <f>MID(ord_as1[[#This Row],[Product ID]],4,6)</f>
        <v>OCT-UK</v>
      </c>
      <c r="L11" s="4" t="s">
        <v>98</v>
      </c>
      <c r="M11" s="5"/>
    </row>
    <row r="12" spans="1:13" x14ac:dyDescent="0.3">
      <c r="A12" s="15" t="s">
        <v>40</v>
      </c>
      <c r="B12" s="15" t="s">
        <v>7</v>
      </c>
      <c r="C12" s="15" t="s">
        <v>41</v>
      </c>
      <c r="D12" s="15">
        <v>950</v>
      </c>
      <c r="E12" s="15">
        <v>25</v>
      </c>
      <c r="F12" s="15" t="s">
        <v>9</v>
      </c>
      <c r="G12" s="12" t="str">
        <f>IF(ord_as1[[#This Row],[Price ($)]]&gt;=500,"HIGH PRICE","STANDARD PRICE")</f>
        <v>HIGH PRICE</v>
      </c>
      <c r="H12" s="12" t="str">
        <f>LEFT(ord_as1[[#This Row],[Product ID]],2)</f>
        <v>17</v>
      </c>
      <c r="I12" s="12" t="str">
        <f>RIGHT(ord_as1[[#This Row],[Product ID]],2)</f>
        <v>IN</v>
      </c>
      <c r="J12" s="10" t="str">
        <f>MID(ord_as1[[#This Row],[Product ID]],4,6)</f>
        <v>JUN-IN</v>
      </c>
      <c r="L12" s="6" t="s">
        <v>102</v>
      </c>
      <c r="M12" s="5">
        <f>SUMIF(ord_as1[Category],"electronics",ord_as1[Price ($)])</f>
        <v>8050</v>
      </c>
    </row>
    <row r="13" spans="1:13" x14ac:dyDescent="0.3">
      <c r="A13" s="16" t="s">
        <v>42</v>
      </c>
      <c r="B13" s="16" t="s">
        <v>11</v>
      </c>
      <c r="C13" s="16" t="s">
        <v>30</v>
      </c>
      <c r="D13" s="16">
        <v>90</v>
      </c>
      <c r="E13" s="16">
        <v>40</v>
      </c>
      <c r="F13" s="16" t="s">
        <v>13</v>
      </c>
      <c r="G13" s="12" t="str">
        <f>IF(ord_as1[[#This Row],[Price ($)]]&gt;=500,"HIGH PRICE","STANDARD PRICE")</f>
        <v>STANDARD PRICE</v>
      </c>
      <c r="H13" s="12" t="str">
        <f>LEFT(ord_as1[[#This Row],[Product ID]],2)</f>
        <v>25</v>
      </c>
      <c r="I13" s="12" t="str">
        <f>RIGHT(ord_as1[[#This Row],[Product ID]],2)</f>
        <v>AU</v>
      </c>
      <c r="J13" s="10" t="str">
        <f>MID(ord_as1[[#This Row],[Product ID]],4,6)</f>
        <v>NOV-AU</v>
      </c>
      <c r="L13" s="4"/>
      <c r="M13" s="5"/>
    </row>
    <row r="14" spans="1:13" x14ac:dyDescent="0.3">
      <c r="A14" s="15" t="s">
        <v>43</v>
      </c>
      <c r="B14" s="15" t="s">
        <v>15</v>
      </c>
      <c r="C14" s="15" t="s">
        <v>44</v>
      </c>
      <c r="D14" s="15">
        <v>120</v>
      </c>
      <c r="E14" s="15">
        <v>35</v>
      </c>
      <c r="F14" s="15" t="s">
        <v>17</v>
      </c>
      <c r="G14" s="12" t="str">
        <f>IF(ord_as1[[#This Row],[Price ($)]]&gt;=500,"HIGH PRICE","STANDARD PRICE")</f>
        <v>STANDARD PRICE</v>
      </c>
      <c r="H14" s="12" t="str">
        <f>LEFT(ord_as1[[#This Row],[Product ID]],2)</f>
        <v>08</v>
      </c>
      <c r="I14" s="12" t="str">
        <f>RIGHT(ord_as1[[#This Row],[Product ID]],2)</f>
        <v>DE</v>
      </c>
      <c r="J14" s="10" t="str">
        <f>MID(ord_as1[[#This Row],[Product ID]],4,6)</f>
        <v>DEC-DE</v>
      </c>
      <c r="L14" s="4" t="s">
        <v>99</v>
      </c>
      <c r="M14" s="5"/>
    </row>
    <row r="15" spans="1:13" x14ac:dyDescent="0.3">
      <c r="A15" s="16" t="s">
        <v>45</v>
      </c>
      <c r="B15" s="16" t="s">
        <v>46</v>
      </c>
      <c r="C15" s="16" t="s">
        <v>47</v>
      </c>
      <c r="D15" s="16">
        <v>150</v>
      </c>
      <c r="E15" s="16">
        <v>15</v>
      </c>
      <c r="F15" s="16" t="s">
        <v>9</v>
      </c>
      <c r="G15" s="12" t="str">
        <f>IF(ord_as1[[#This Row],[Price ($)]]&gt;=500,"HIGH PRICE","STANDARD PRICE")</f>
        <v>STANDARD PRICE</v>
      </c>
      <c r="H15" s="12" t="str">
        <f>LEFT(ord_as1[[#This Row],[Product ID]],2)</f>
        <v>18</v>
      </c>
      <c r="I15" s="12" t="str">
        <f>RIGHT(ord_as1[[#This Row],[Product ID]],2)</f>
        <v>CA</v>
      </c>
      <c r="J15" s="10" t="str">
        <f>MID(ord_as1[[#This Row],[Product ID]],4,6)</f>
        <v>FEB-CA</v>
      </c>
      <c r="L15" s="4" t="s">
        <v>105</v>
      </c>
      <c r="M15" s="5">
        <f>COUNTIF(ord_as1[Price ($)],"&lt;100")</f>
        <v>11</v>
      </c>
    </row>
    <row r="16" spans="1:13" x14ac:dyDescent="0.3">
      <c r="A16" s="15" t="s">
        <v>48</v>
      </c>
      <c r="B16" s="15" t="s">
        <v>26</v>
      </c>
      <c r="C16" s="15" t="s">
        <v>49</v>
      </c>
      <c r="D16" s="15">
        <v>250</v>
      </c>
      <c r="E16" s="15">
        <v>20</v>
      </c>
      <c r="F16" s="15" t="s">
        <v>9</v>
      </c>
      <c r="G16" s="12" t="str">
        <f>IF(ord_as1[[#This Row],[Price ($)]]&gt;=500,"HIGH PRICE","STANDARD PRICE")</f>
        <v>STANDARD PRICE</v>
      </c>
      <c r="H16" s="12" t="str">
        <f>LEFT(ord_as1[[#This Row],[Product ID]],2)</f>
        <v>16</v>
      </c>
      <c r="I16" s="12" t="str">
        <f>RIGHT(ord_as1[[#This Row],[Product ID]],2)</f>
        <v>ES</v>
      </c>
      <c r="J16" s="10" t="str">
        <f>MID(ord_as1[[#This Row],[Product ID]],4,6)</f>
        <v>APR-ES</v>
      </c>
    </row>
    <row r="17" spans="1:14" x14ac:dyDescent="0.3">
      <c r="A17" s="16" t="s">
        <v>50</v>
      </c>
      <c r="B17" s="16" t="s">
        <v>51</v>
      </c>
      <c r="C17" s="16" t="s">
        <v>52</v>
      </c>
      <c r="D17" s="16">
        <v>50</v>
      </c>
      <c r="E17" s="16">
        <v>35</v>
      </c>
      <c r="F17" s="16" t="s">
        <v>53</v>
      </c>
      <c r="G17" s="12" t="str">
        <f>IF(ord_as1[[#This Row],[Price ($)]]&gt;=500,"HIGH PRICE","STANDARD PRICE")</f>
        <v>STANDARD PRICE</v>
      </c>
      <c r="H17" s="12" t="str">
        <f>LEFT(ord_as1[[#This Row],[Product ID]],2)</f>
        <v>21</v>
      </c>
      <c r="I17" s="12" t="str">
        <f>RIGHT(ord_as1[[#This Row],[Product ID]],2)</f>
        <v>CA</v>
      </c>
      <c r="J17" s="10" t="str">
        <f>MID(ord_as1[[#This Row],[Product ID]],4,6)</f>
        <v>AUG-CA</v>
      </c>
    </row>
    <row r="18" spans="1:14" x14ac:dyDescent="0.3">
      <c r="A18" s="15" t="s">
        <v>54</v>
      </c>
      <c r="B18" s="15" t="s">
        <v>46</v>
      </c>
      <c r="C18" s="15" t="s">
        <v>55</v>
      </c>
      <c r="D18" s="15">
        <v>160</v>
      </c>
      <c r="E18" s="15">
        <v>15</v>
      </c>
      <c r="F18" s="15" t="s">
        <v>9</v>
      </c>
      <c r="G18" s="12" t="str">
        <f>IF(ord_as1[[#This Row],[Price ($)]]&gt;=500,"HIGH PRICE","STANDARD PRICE")</f>
        <v>STANDARD PRICE</v>
      </c>
      <c r="H18" s="12" t="str">
        <f>LEFT(ord_as1[[#This Row],[Product ID]],2)</f>
        <v>20</v>
      </c>
      <c r="I18" s="12" t="str">
        <f>RIGHT(ord_as1[[#This Row],[Product ID]],2)</f>
        <v>CN</v>
      </c>
      <c r="J18" s="10" t="str">
        <f>MID(ord_as1[[#This Row],[Product ID]],4,6)</f>
        <v>AUG-CN</v>
      </c>
    </row>
    <row r="19" spans="1:14" x14ac:dyDescent="0.3">
      <c r="A19" s="16" t="s">
        <v>56</v>
      </c>
      <c r="B19" s="16" t="s">
        <v>7</v>
      </c>
      <c r="C19" s="16" t="s">
        <v>57</v>
      </c>
      <c r="D19" s="16">
        <v>980</v>
      </c>
      <c r="E19" s="16">
        <v>10</v>
      </c>
      <c r="F19" s="16" t="s">
        <v>9</v>
      </c>
      <c r="G19" s="12" t="str">
        <f>IF(ord_as1[[#This Row],[Price ($)]]&gt;=500,"HIGH PRICE","STANDARD PRICE")</f>
        <v>HIGH PRICE</v>
      </c>
      <c r="H19" s="12" t="str">
        <f>LEFT(ord_as1[[#This Row],[Product ID]],2)</f>
        <v>27</v>
      </c>
      <c r="I19" s="12" t="str">
        <f>RIGHT(ord_as1[[#This Row],[Product ID]],2)</f>
        <v>IT</v>
      </c>
      <c r="J19" s="10" t="str">
        <f>MID(ord_as1[[#This Row],[Product ID]],4,6)</f>
        <v>JAN-IT</v>
      </c>
    </row>
    <row r="20" spans="1:14" x14ac:dyDescent="0.3">
      <c r="A20" s="15" t="s">
        <v>58</v>
      </c>
      <c r="B20" s="15" t="s">
        <v>59</v>
      </c>
      <c r="C20" s="15" t="s">
        <v>60</v>
      </c>
      <c r="D20" s="15">
        <v>150</v>
      </c>
      <c r="E20" s="15">
        <v>15</v>
      </c>
      <c r="F20" s="15" t="s">
        <v>13</v>
      </c>
      <c r="G20" s="12" t="str">
        <f>IF(ord_as1[[#This Row],[Price ($)]]&gt;=500,"HIGH PRICE","STANDARD PRICE")</f>
        <v>STANDARD PRICE</v>
      </c>
      <c r="H20" s="12" t="str">
        <f>LEFT(ord_as1[[#This Row],[Product ID]],2)</f>
        <v>01</v>
      </c>
      <c r="I20" s="12" t="str">
        <f>RIGHT(ord_as1[[#This Row],[Product ID]],2)</f>
        <v>UK</v>
      </c>
      <c r="J20" s="10" t="str">
        <f>MID(ord_as1[[#This Row],[Product ID]],4,6)</f>
        <v>MAR-UK</v>
      </c>
    </row>
    <row r="21" spans="1:14" x14ac:dyDescent="0.3">
      <c r="A21" s="16" t="s">
        <v>61</v>
      </c>
      <c r="B21" s="16" t="s">
        <v>62</v>
      </c>
      <c r="C21" s="16" t="s">
        <v>63</v>
      </c>
      <c r="D21" s="16">
        <v>200</v>
      </c>
      <c r="E21" s="16">
        <v>10</v>
      </c>
      <c r="F21" s="16" t="s">
        <v>24</v>
      </c>
      <c r="G21" s="12" t="str">
        <f>IF(ord_as1[[#This Row],[Price ($)]]&gt;=500,"HIGH PRICE","STANDARD PRICE")</f>
        <v>STANDARD PRICE</v>
      </c>
      <c r="H21" s="12" t="str">
        <f>LEFT(ord_as1[[#This Row],[Product ID]],2)</f>
        <v>14</v>
      </c>
      <c r="I21" s="12" t="str">
        <f>RIGHT(ord_as1[[#This Row],[Product ID]],2)</f>
        <v>US</v>
      </c>
      <c r="J21" s="10" t="str">
        <f>MID(ord_as1[[#This Row],[Product ID]],4,6)</f>
        <v>AUG-US</v>
      </c>
    </row>
    <row r="22" spans="1:14" x14ac:dyDescent="0.3">
      <c r="A22" s="15" t="s">
        <v>64</v>
      </c>
      <c r="B22" s="15" t="s">
        <v>65</v>
      </c>
      <c r="C22" s="15" t="s">
        <v>66</v>
      </c>
      <c r="D22" s="15">
        <v>700</v>
      </c>
      <c r="E22" s="15">
        <v>50</v>
      </c>
      <c r="F22" s="15" t="s">
        <v>9</v>
      </c>
      <c r="G22" s="12" t="str">
        <f>IF(ord_as1[[#This Row],[Price ($)]]&gt;=500,"HIGH PRICE","STANDARD PRICE")</f>
        <v>HIGH PRICE</v>
      </c>
      <c r="H22" s="12" t="str">
        <f>LEFT(ord_as1[[#This Row],[Product ID]],2)</f>
        <v>14</v>
      </c>
      <c r="I22" s="12" t="str">
        <f>RIGHT(ord_as1[[#This Row],[Product ID]],2)</f>
        <v>RU</v>
      </c>
      <c r="J22" s="10" t="str">
        <f>MID(ord_as1[[#This Row],[Product ID]],4,6)</f>
        <v>MAY-RU</v>
      </c>
      <c r="M22" s="2"/>
      <c r="N22" s="2"/>
    </row>
    <row r="23" spans="1:14" x14ac:dyDescent="0.3">
      <c r="A23" s="16" t="s">
        <v>67</v>
      </c>
      <c r="B23" s="16" t="s">
        <v>68</v>
      </c>
      <c r="C23" s="16" t="s">
        <v>69</v>
      </c>
      <c r="D23" s="16">
        <v>80</v>
      </c>
      <c r="E23" s="16">
        <v>20</v>
      </c>
      <c r="F23" s="16" t="s">
        <v>17</v>
      </c>
      <c r="G23" s="12" t="str">
        <f>IF(ord_as1[[#This Row],[Price ($)]]&gt;=500,"HIGH PRICE","STANDARD PRICE")</f>
        <v>STANDARD PRICE</v>
      </c>
      <c r="H23" s="12" t="str">
        <f>LEFT(ord_as1[[#This Row],[Product ID]],2)</f>
        <v>09</v>
      </c>
      <c r="I23" s="12" t="str">
        <f>RIGHT(ord_as1[[#This Row],[Product ID]],2)</f>
        <v>CA</v>
      </c>
      <c r="J23" s="10" t="str">
        <f>MID(ord_as1[[#This Row],[Product ID]],4,6)</f>
        <v>JAN-CA</v>
      </c>
      <c r="L23" s="3"/>
    </row>
    <row r="24" spans="1:14" x14ac:dyDescent="0.3">
      <c r="A24" s="15" t="s">
        <v>70</v>
      </c>
      <c r="B24" s="15" t="s">
        <v>71</v>
      </c>
      <c r="C24" s="15" t="s">
        <v>72</v>
      </c>
      <c r="D24" s="15">
        <v>150</v>
      </c>
      <c r="E24" s="15">
        <v>30</v>
      </c>
      <c r="F24" s="15" t="s">
        <v>9</v>
      </c>
      <c r="G24" s="12" t="str">
        <f>IF(ord_as1[[#This Row],[Price ($)]]&gt;=500,"HIGH PRICE","STANDARD PRICE")</f>
        <v>STANDARD PRICE</v>
      </c>
      <c r="H24" s="12" t="str">
        <f>LEFT(ord_as1[[#This Row],[Product ID]],2)</f>
        <v>19</v>
      </c>
      <c r="I24" s="12" t="str">
        <f>RIGHT(ord_as1[[#This Row],[Product ID]],2)</f>
        <v>BR</v>
      </c>
      <c r="J24" s="10" t="str">
        <f>MID(ord_as1[[#This Row],[Product ID]],4,6)</f>
        <v>JUL-BR</v>
      </c>
    </row>
    <row r="25" spans="1:14" x14ac:dyDescent="0.3">
      <c r="A25" s="16" t="s">
        <v>50</v>
      </c>
      <c r="B25" s="16" t="s">
        <v>51</v>
      </c>
      <c r="C25" s="16" t="s">
        <v>52</v>
      </c>
      <c r="D25" s="16">
        <v>50</v>
      </c>
      <c r="E25" s="16">
        <v>35</v>
      </c>
      <c r="F25" s="16" t="s">
        <v>53</v>
      </c>
      <c r="G25" s="12" t="str">
        <f>IF(ord_as1[[#This Row],[Price ($)]]&gt;=500,"HIGH PRICE","STANDARD PRICE")</f>
        <v>STANDARD PRICE</v>
      </c>
      <c r="H25" s="12" t="str">
        <f>LEFT(ord_as1[[#This Row],[Product ID]],2)</f>
        <v>21</v>
      </c>
      <c r="I25" s="12" t="str">
        <f>RIGHT(ord_as1[[#This Row],[Product ID]],2)</f>
        <v>CA</v>
      </c>
      <c r="J25" s="10" t="str">
        <f>MID(ord_as1[[#This Row],[Product ID]],4,6)</f>
        <v>AUG-CA</v>
      </c>
    </row>
    <row r="26" spans="1:14" x14ac:dyDescent="0.3">
      <c r="A26" s="15" t="s">
        <v>73</v>
      </c>
      <c r="B26" s="15" t="s">
        <v>19</v>
      </c>
      <c r="C26" s="15" t="s">
        <v>74</v>
      </c>
      <c r="D26" s="15">
        <v>800</v>
      </c>
      <c r="E26" s="15">
        <v>45</v>
      </c>
      <c r="F26" s="15" t="s">
        <v>9</v>
      </c>
      <c r="G26" s="12" t="str">
        <f>IF(ord_as1[[#This Row],[Price ($)]]&gt;=500,"HIGH PRICE","STANDARD PRICE")</f>
        <v>HIGH PRICE</v>
      </c>
      <c r="H26" s="12" t="str">
        <f>LEFT(ord_as1[[#This Row],[Product ID]],2)</f>
        <v>29</v>
      </c>
      <c r="I26" s="12" t="str">
        <f>RIGHT(ord_as1[[#This Row],[Product ID]],2)</f>
        <v>CA</v>
      </c>
      <c r="J26" s="10" t="str">
        <f>MID(ord_as1[[#This Row],[Product ID]],4,6)</f>
        <v>SEP-CA</v>
      </c>
    </row>
    <row r="27" spans="1:14" x14ac:dyDescent="0.3">
      <c r="A27" s="16" t="s">
        <v>75</v>
      </c>
      <c r="B27" s="16" t="s">
        <v>59</v>
      </c>
      <c r="C27" s="16" t="s">
        <v>76</v>
      </c>
      <c r="D27" s="16">
        <v>130</v>
      </c>
      <c r="E27" s="16">
        <v>25</v>
      </c>
      <c r="F27" s="16" t="s">
        <v>13</v>
      </c>
      <c r="G27" s="12" t="str">
        <f>IF(ord_as1[[#This Row],[Price ($)]]&gt;=500,"HIGH PRICE","STANDARD PRICE")</f>
        <v>STANDARD PRICE</v>
      </c>
      <c r="H27" s="12" t="str">
        <f>LEFT(ord_as1[[#This Row],[Product ID]],2)</f>
        <v>03</v>
      </c>
      <c r="I27" s="12" t="str">
        <f>RIGHT(ord_as1[[#This Row],[Product ID]],2)</f>
        <v>CA</v>
      </c>
      <c r="J27" s="10" t="str">
        <f>MID(ord_as1[[#This Row],[Product ID]],4,6)</f>
        <v>JUN-CA</v>
      </c>
    </row>
    <row r="28" spans="1:14" x14ac:dyDescent="0.3">
      <c r="A28" s="15" t="s">
        <v>77</v>
      </c>
      <c r="B28" s="15" t="s">
        <v>32</v>
      </c>
      <c r="C28" s="15" t="s">
        <v>78</v>
      </c>
      <c r="D28" s="15">
        <v>400</v>
      </c>
      <c r="E28" s="15">
        <v>40</v>
      </c>
      <c r="F28" s="15" t="s">
        <v>17</v>
      </c>
      <c r="G28" s="12" t="str">
        <f>IF(ord_as1[[#This Row],[Price ($)]]&gt;=500,"HIGH PRICE","STANDARD PRICE")</f>
        <v>STANDARD PRICE</v>
      </c>
      <c r="H28" s="12" t="str">
        <f>LEFT(ord_as1[[#This Row],[Product ID]],2)</f>
        <v>11</v>
      </c>
      <c r="I28" s="12" t="str">
        <f>RIGHT(ord_as1[[#This Row],[Product ID]],2)</f>
        <v>CA</v>
      </c>
      <c r="J28" s="10" t="str">
        <f>MID(ord_as1[[#This Row],[Product ID]],4,6)</f>
        <v>JUL-CA</v>
      </c>
    </row>
    <row r="29" spans="1:14" x14ac:dyDescent="0.3">
      <c r="A29" s="16" t="s">
        <v>48</v>
      </c>
      <c r="B29" s="16" t="s">
        <v>26</v>
      </c>
      <c r="C29" s="16" t="s">
        <v>49</v>
      </c>
      <c r="D29" s="16">
        <v>230</v>
      </c>
      <c r="E29" s="16">
        <v>20</v>
      </c>
      <c r="F29" s="16" t="s">
        <v>9</v>
      </c>
      <c r="G29" s="12" t="str">
        <f>IF(ord_as1[[#This Row],[Price ($)]]&gt;=500,"HIGH PRICE","STANDARD PRICE")</f>
        <v>STANDARD PRICE</v>
      </c>
      <c r="H29" s="12" t="str">
        <f>LEFT(ord_as1[[#This Row],[Product ID]],2)</f>
        <v>16</v>
      </c>
      <c r="I29" s="12" t="str">
        <f>RIGHT(ord_as1[[#This Row],[Product ID]],2)</f>
        <v>ES</v>
      </c>
      <c r="J29" s="10" t="str">
        <f>MID(ord_as1[[#This Row],[Product ID]],4,6)</f>
        <v>APR-ES</v>
      </c>
    </row>
    <row r="30" spans="1:14" x14ac:dyDescent="0.3">
      <c r="A30" s="15" t="s">
        <v>79</v>
      </c>
      <c r="B30" s="15" t="s">
        <v>80</v>
      </c>
      <c r="C30" s="15" t="s">
        <v>81</v>
      </c>
      <c r="D30" s="15">
        <v>60</v>
      </c>
      <c r="E30" s="15">
        <v>30</v>
      </c>
      <c r="F30" s="15" t="s">
        <v>13</v>
      </c>
      <c r="G30" s="12" t="str">
        <f>IF(ord_as1[[#This Row],[Price ($)]]&gt;=500,"HIGH PRICE","STANDARD PRICE")</f>
        <v>STANDARD PRICE</v>
      </c>
      <c r="H30" s="12" t="str">
        <f>LEFT(ord_as1[[#This Row],[Product ID]],2)</f>
        <v>07</v>
      </c>
      <c r="I30" s="12" t="str">
        <f>RIGHT(ord_as1[[#This Row],[Product ID]],2)</f>
        <v>CA</v>
      </c>
      <c r="J30" s="10" t="str">
        <f>MID(ord_as1[[#This Row],[Product ID]],4,6)</f>
        <v>MAR-CA</v>
      </c>
    </row>
    <row r="31" spans="1:14" x14ac:dyDescent="0.3">
      <c r="A31" s="16" t="s">
        <v>82</v>
      </c>
      <c r="B31" s="16" t="s">
        <v>83</v>
      </c>
      <c r="C31" s="16" t="s">
        <v>84</v>
      </c>
      <c r="D31" s="16">
        <v>40</v>
      </c>
      <c r="E31" s="16">
        <v>10</v>
      </c>
      <c r="F31" s="16" t="s">
        <v>17</v>
      </c>
      <c r="G31" s="12" t="str">
        <f>IF(ord_as1[[#This Row],[Price ($)]]&gt;=500,"HIGH PRICE","STANDARD PRICE")</f>
        <v>STANDARD PRICE</v>
      </c>
      <c r="H31" s="12" t="str">
        <f>LEFT(ord_as1[[#This Row],[Product ID]],2)</f>
        <v>13</v>
      </c>
      <c r="I31" s="12" t="str">
        <f>RIGHT(ord_as1[[#This Row],[Product ID]],2)</f>
        <v>CA</v>
      </c>
      <c r="J31" s="10" t="str">
        <f>MID(ord_as1[[#This Row],[Product ID]],4,6)</f>
        <v>APR-CA</v>
      </c>
    </row>
    <row r="32" spans="1:14" x14ac:dyDescent="0.3">
      <c r="A32" s="15" t="s">
        <v>85</v>
      </c>
      <c r="B32" s="15" t="s">
        <v>71</v>
      </c>
      <c r="C32" s="15" t="s">
        <v>86</v>
      </c>
      <c r="D32" s="15">
        <v>130</v>
      </c>
      <c r="E32" s="15">
        <v>5</v>
      </c>
      <c r="F32" s="15" t="s">
        <v>9</v>
      </c>
      <c r="G32" s="12" t="str">
        <f>IF(ord_as1[[#This Row],[Price ($)]]&gt;=500,"HIGH PRICE","STANDARD PRICE")</f>
        <v>STANDARD PRICE</v>
      </c>
      <c r="H32" s="12" t="str">
        <f>LEFT(ord_as1[[#This Row],[Product ID]],2)</f>
        <v>24</v>
      </c>
      <c r="I32" s="12" t="str">
        <f>RIGHT(ord_as1[[#This Row],[Product ID]],2)</f>
        <v>CA</v>
      </c>
      <c r="J32" s="10" t="str">
        <f>MID(ord_as1[[#This Row],[Product ID]],4,6)</f>
        <v>MAY-CA</v>
      </c>
    </row>
    <row r="33" spans="1:10" x14ac:dyDescent="0.3">
      <c r="A33" s="16" t="s">
        <v>87</v>
      </c>
      <c r="B33" s="16" t="s">
        <v>88</v>
      </c>
      <c r="C33" s="16" t="s">
        <v>89</v>
      </c>
      <c r="D33" s="16">
        <v>50</v>
      </c>
      <c r="E33" s="16">
        <v>50</v>
      </c>
      <c r="F33" s="16" t="s">
        <v>13</v>
      </c>
      <c r="G33" s="12" t="str">
        <f>IF(ord_as1[[#This Row],[Price ($)]]&gt;=500,"HIGH PRICE","STANDARD PRICE")</f>
        <v>STANDARD PRICE</v>
      </c>
      <c r="H33" s="12" t="str">
        <f>LEFT(ord_as1[[#This Row],[Product ID]],2)</f>
        <v>02</v>
      </c>
      <c r="I33" s="12" t="str">
        <f>RIGHT(ord_as1[[#This Row],[Product ID]],2)</f>
        <v>CA</v>
      </c>
      <c r="J33" s="10" t="str">
        <f>MID(ord_as1[[#This Row],[Product ID]],4,6)</f>
        <v>DEC-CA</v>
      </c>
    </row>
    <row r="34" spans="1:10" x14ac:dyDescent="0.3">
      <c r="A34" s="15" t="s">
        <v>40</v>
      </c>
      <c r="B34" s="15" t="s">
        <v>7</v>
      </c>
      <c r="C34" s="15" t="s">
        <v>41</v>
      </c>
      <c r="D34" s="15">
        <v>950</v>
      </c>
      <c r="E34" s="15">
        <v>25</v>
      </c>
      <c r="F34" s="15" t="s">
        <v>9</v>
      </c>
      <c r="G34" s="12" t="str">
        <f>IF(ord_as1[[#This Row],[Price ($)]]&gt;=500,"HIGH PRICE","STANDARD PRICE")</f>
        <v>HIGH PRICE</v>
      </c>
      <c r="H34" s="12" t="str">
        <f>LEFT(ord_as1[[#This Row],[Product ID]],2)</f>
        <v>17</v>
      </c>
      <c r="I34" s="12" t="str">
        <f>RIGHT(ord_as1[[#This Row],[Product ID]],2)</f>
        <v>IN</v>
      </c>
      <c r="J34" s="10" t="str">
        <f>MID(ord_as1[[#This Row],[Product ID]],4,6)</f>
        <v>JUN-IN</v>
      </c>
    </row>
    <row r="35" spans="1:10" x14ac:dyDescent="0.3">
      <c r="A35" s="16" t="s">
        <v>90</v>
      </c>
      <c r="B35" s="16" t="s">
        <v>91</v>
      </c>
      <c r="C35" s="16" t="s">
        <v>92</v>
      </c>
      <c r="D35" s="16">
        <v>100</v>
      </c>
      <c r="E35" s="16">
        <v>20</v>
      </c>
      <c r="F35" s="16" t="s">
        <v>53</v>
      </c>
      <c r="G35" s="12" t="str">
        <f>IF(ord_as1[[#This Row],[Price ($)]]&gt;=500,"HIGH PRICE","STANDARD PRICE")</f>
        <v>STANDARD PRICE</v>
      </c>
      <c r="H35" s="12" t="str">
        <f>LEFT(ord_as1[[#This Row],[Product ID]],2)</f>
        <v>09</v>
      </c>
      <c r="I35" s="12" t="str">
        <f>RIGHT(ord_as1[[#This Row],[Product ID]],2)</f>
        <v>FR</v>
      </c>
      <c r="J35" s="10" t="str">
        <f>MID(ord_as1[[#This Row],[Product ID]],4,6)</f>
        <v>JUL-FR</v>
      </c>
    </row>
    <row r="36" spans="1:10" x14ac:dyDescent="0.3">
      <c r="A36" s="17"/>
      <c r="B36" s="17"/>
      <c r="C36" s="17"/>
      <c r="D36" s="17"/>
      <c r="E36" s="17"/>
      <c r="F36" s="17"/>
      <c r="G36" s="13"/>
    </row>
    <row r="37" spans="1:10" x14ac:dyDescent="0.3">
      <c r="A37" s="17"/>
      <c r="B37" s="17"/>
      <c r="C37" s="17"/>
      <c r="D37" s="17"/>
      <c r="E37" s="17"/>
      <c r="F37" s="17"/>
      <c r="G37" s="13"/>
    </row>
    <row r="38" spans="1:10" x14ac:dyDescent="0.3">
      <c r="A38" s="17"/>
      <c r="B38" s="17"/>
      <c r="C38" s="17"/>
      <c r="D38" s="17"/>
      <c r="E38" s="17"/>
      <c r="F38" s="17"/>
      <c r="G38" s="13"/>
    </row>
    <row r="39" spans="1:10" x14ac:dyDescent="0.3">
      <c r="A39" s="17"/>
      <c r="B39" s="17"/>
      <c r="C39" s="17"/>
      <c r="D39" s="17"/>
      <c r="E39" s="17"/>
      <c r="F39" s="17"/>
      <c r="G39" s="13"/>
    </row>
    <row r="40" spans="1:10" x14ac:dyDescent="0.3">
      <c r="A40" s="17"/>
      <c r="B40" s="17"/>
      <c r="C40" s="17"/>
      <c r="D40" s="17"/>
      <c r="E40" s="17"/>
      <c r="F40" s="17"/>
      <c r="G40" s="13"/>
    </row>
    <row r="41" spans="1:10" x14ac:dyDescent="0.3">
      <c r="A41" s="17"/>
      <c r="B41" s="17"/>
      <c r="C41" s="17"/>
      <c r="D41" s="17"/>
      <c r="E41" s="17"/>
      <c r="F41" s="17"/>
      <c r="G41" s="13"/>
    </row>
    <row r="42" spans="1:10" x14ac:dyDescent="0.3">
      <c r="A42" s="17"/>
      <c r="B42" s="17"/>
      <c r="C42" s="17"/>
      <c r="D42" s="17"/>
      <c r="E42" s="17"/>
      <c r="F42" s="17"/>
      <c r="G42" s="13"/>
    </row>
    <row r="43" spans="1:10" x14ac:dyDescent="0.3">
      <c r="A43" s="17"/>
      <c r="B43" s="17"/>
      <c r="C43" s="17"/>
      <c r="D43" s="17"/>
      <c r="E43" s="17"/>
      <c r="F43" s="17"/>
      <c r="G43" s="13"/>
    </row>
    <row r="44" spans="1:10" x14ac:dyDescent="0.3">
      <c r="A44" s="17"/>
      <c r="B44" s="17"/>
      <c r="C44" s="17"/>
      <c r="D44" s="17"/>
      <c r="E44" s="17"/>
      <c r="F44" s="17"/>
      <c r="G44" s="13"/>
    </row>
    <row r="45" spans="1:10" x14ac:dyDescent="0.3">
      <c r="A45" s="17"/>
      <c r="B45" s="17"/>
      <c r="C45" s="17"/>
      <c r="D45" s="17"/>
      <c r="E45" s="17"/>
      <c r="F45" s="17"/>
      <c r="G45" s="13"/>
    </row>
    <row r="46" spans="1:10" x14ac:dyDescent="0.3">
      <c r="A46" s="17"/>
      <c r="B46" s="17"/>
      <c r="C46" s="17"/>
      <c r="D46" s="17"/>
      <c r="E46" s="17"/>
      <c r="F46" s="17"/>
      <c r="G46" s="13"/>
    </row>
    <row r="47" spans="1:10" x14ac:dyDescent="0.3">
      <c r="A47" s="17"/>
      <c r="B47" s="17"/>
      <c r="C47" s="17"/>
      <c r="D47" s="17"/>
      <c r="E47" s="17"/>
      <c r="F47" s="17"/>
      <c r="G47" s="13"/>
    </row>
    <row r="48" spans="1:10" x14ac:dyDescent="0.3">
      <c r="A48" s="17"/>
      <c r="B48" s="17"/>
      <c r="C48" s="17"/>
      <c r="D48" s="17"/>
      <c r="E48" s="17"/>
      <c r="F48" s="17"/>
      <c r="G48" s="1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2026-06-03T17:50:41Z</dcterms:created>
  <dcterms:modified xsi:type="dcterms:W3CDTF">2026-06-05T05:35:28Z</dcterms:modified>
</cp:coreProperties>
</file>